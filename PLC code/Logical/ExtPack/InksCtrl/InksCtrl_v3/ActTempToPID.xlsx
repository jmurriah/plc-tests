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jorgemur\Desktop\"/>
    </mc:Choice>
  </mc:AlternateContent>
  <xr:revisionPtr revIDLastSave="0" documentId="13_ncr:1_{9B191170-B7DF-4FB7-83C4-45116E17BFDF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I8" i="1" s="1"/>
  <c r="E9" i="1"/>
  <c r="I9" i="1" s="1"/>
  <c r="E10" i="1"/>
  <c r="E11" i="1"/>
  <c r="E12" i="1"/>
  <c r="I12" i="1" s="1"/>
  <c r="E13" i="1"/>
  <c r="I13" i="1" s="1"/>
  <c r="E14" i="1"/>
  <c r="E15" i="1"/>
  <c r="E16" i="1"/>
  <c r="E17" i="1"/>
  <c r="I17" i="1" s="1"/>
  <c r="E18" i="1"/>
  <c r="E19" i="1"/>
  <c r="E20" i="1"/>
  <c r="E21" i="1"/>
  <c r="I21" i="1" s="1"/>
  <c r="E22" i="1"/>
  <c r="E23" i="1"/>
  <c r="E24" i="1"/>
  <c r="I24" i="1" s="1"/>
  <c r="E25" i="1"/>
  <c r="I25" i="1" s="1"/>
  <c r="E26" i="1"/>
  <c r="E27" i="1"/>
  <c r="E28" i="1"/>
  <c r="I28" i="1" s="1"/>
  <c r="E29" i="1"/>
  <c r="I29" i="1" s="1"/>
  <c r="E30" i="1"/>
  <c r="E31" i="1"/>
  <c r="E32" i="1"/>
  <c r="E33" i="1"/>
  <c r="I33" i="1" s="1"/>
  <c r="E34" i="1"/>
  <c r="E35" i="1"/>
  <c r="E36" i="1"/>
  <c r="E37" i="1"/>
  <c r="I37" i="1" s="1"/>
  <c r="E38" i="1"/>
  <c r="E39" i="1"/>
  <c r="E40" i="1"/>
  <c r="I40" i="1" s="1"/>
  <c r="E41" i="1"/>
  <c r="I41" i="1" s="1"/>
  <c r="E42" i="1"/>
  <c r="E43" i="1"/>
  <c r="E44" i="1"/>
  <c r="I44" i="1" s="1"/>
  <c r="E45" i="1"/>
  <c r="I45" i="1" s="1"/>
  <c r="E46" i="1"/>
  <c r="E47" i="1"/>
  <c r="E48" i="1"/>
  <c r="E49" i="1"/>
  <c r="I49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6" i="1"/>
  <c r="I6" i="1"/>
  <c r="I7" i="1"/>
  <c r="F7" i="1"/>
  <c r="J7" i="1" s="1"/>
  <c r="G7" i="1"/>
  <c r="K7" i="1" s="1"/>
  <c r="H7" i="1"/>
  <c r="L7" i="1" s="1"/>
  <c r="F8" i="1"/>
  <c r="J8" i="1" s="1"/>
  <c r="G8" i="1"/>
  <c r="K8" i="1" s="1"/>
  <c r="H8" i="1"/>
  <c r="L8" i="1" s="1"/>
  <c r="F9" i="1"/>
  <c r="J9" i="1" s="1"/>
  <c r="G9" i="1"/>
  <c r="K9" i="1" s="1"/>
  <c r="H9" i="1"/>
  <c r="L9" i="1" s="1"/>
  <c r="I10" i="1"/>
  <c r="F10" i="1"/>
  <c r="J10" i="1" s="1"/>
  <c r="G10" i="1"/>
  <c r="K10" i="1" s="1"/>
  <c r="H10" i="1"/>
  <c r="L10" i="1" s="1"/>
  <c r="I11" i="1"/>
  <c r="F11" i="1"/>
  <c r="J11" i="1" s="1"/>
  <c r="G11" i="1"/>
  <c r="K11" i="1" s="1"/>
  <c r="H11" i="1"/>
  <c r="L11" i="1" s="1"/>
  <c r="F12" i="1"/>
  <c r="J12" i="1" s="1"/>
  <c r="G12" i="1"/>
  <c r="K12" i="1" s="1"/>
  <c r="H12" i="1"/>
  <c r="L12" i="1" s="1"/>
  <c r="F13" i="1"/>
  <c r="J13" i="1" s="1"/>
  <c r="G13" i="1"/>
  <c r="K13" i="1" s="1"/>
  <c r="H13" i="1"/>
  <c r="L13" i="1" s="1"/>
  <c r="I14" i="1"/>
  <c r="F14" i="1"/>
  <c r="J14" i="1" s="1"/>
  <c r="G14" i="1"/>
  <c r="K14" i="1" s="1"/>
  <c r="H14" i="1"/>
  <c r="L14" i="1" s="1"/>
  <c r="I15" i="1"/>
  <c r="F15" i="1"/>
  <c r="J15" i="1" s="1"/>
  <c r="G15" i="1"/>
  <c r="K15" i="1" s="1"/>
  <c r="H15" i="1"/>
  <c r="L15" i="1" s="1"/>
  <c r="I16" i="1"/>
  <c r="F16" i="1"/>
  <c r="J16" i="1" s="1"/>
  <c r="G16" i="1"/>
  <c r="K16" i="1" s="1"/>
  <c r="H16" i="1"/>
  <c r="L16" i="1" s="1"/>
  <c r="F17" i="1"/>
  <c r="J17" i="1" s="1"/>
  <c r="G17" i="1"/>
  <c r="K17" i="1" s="1"/>
  <c r="H17" i="1"/>
  <c r="L17" i="1" s="1"/>
  <c r="I18" i="1"/>
  <c r="F18" i="1"/>
  <c r="J18" i="1" s="1"/>
  <c r="G18" i="1"/>
  <c r="K18" i="1" s="1"/>
  <c r="H18" i="1"/>
  <c r="L18" i="1" s="1"/>
  <c r="I19" i="1"/>
  <c r="F19" i="1"/>
  <c r="J19" i="1" s="1"/>
  <c r="G19" i="1"/>
  <c r="K19" i="1" s="1"/>
  <c r="H19" i="1"/>
  <c r="L19" i="1" s="1"/>
  <c r="I20" i="1"/>
  <c r="F20" i="1"/>
  <c r="J20" i="1" s="1"/>
  <c r="G20" i="1"/>
  <c r="K20" i="1" s="1"/>
  <c r="H20" i="1"/>
  <c r="L20" i="1" s="1"/>
  <c r="F21" i="1"/>
  <c r="J21" i="1" s="1"/>
  <c r="G21" i="1"/>
  <c r="K21" i="1" s="1"/>
  <c r="H21" i="1"/>
  <c r="L21" i="1" s="1"/>
  <c r="I22" i="1"/>
  <c r="F22" i="1"/>
  <c r="J22" i="1" s="1"/>
  <c r="G22" i="1"/>
  <c r="K22" i="1" s="1"/>
  <c r="H22" i="1"/>
  <c r="L22" i="1" s="1"/>
  <c r="I23" i="1"/>
  <c r="F23" i="1"/>
  <c r="J23" i="1" s="1"/>
  <c r="G23" i="1"/>
  <c r="K23" i="1" s="1"/>
  <c r="H23" i="1"/>
  <c r="L23" i="1" s="1"/>
  <c r="F24" i="1"/>
  <c r="J24" i="1" s="1"/>
  <c r="G24" i="1"/>
  <c r="K24" i="1" s="1"/>
  <c r="H24" i="1"/>
  <c r="L24" i="1" s="1"/>
  <c r="F25" i="1"/>
  <c r="J25" i="1" s="1"/>
  <c r="G25" i="1"/>
  <c r="K25" i="1" s="1"/>
  <c r="H25" i="1"/>
  <c r="L25" i="1" s="1"/>
  <c r="I26" i="1"/>
  <c r="F26" i="1"/>
  <c r="J26" i="1" s="1"/>
  <c r="G26" i="1"/>
  <c r="K26" i="1" s="1"/>
  <c r="H26" i="1"/>
  <c r="L26" i="1" s="1"/>
  <c r="I27" i="1"/>
  <c r="F27" i="1"/>
  <c r="J27" i="1" s="1"/>
  <c r="G27" i="1"/>
  <c r="K27" i="1" s="1"/>
  <c r="H27" i="1"/>
  <c r="L27" i="1" s="1"/>
  <c r="F28" i="1"/>
  <c r="J28" i="1" s="1"/>
  <c r="G28" i="1"/>
  <c r="K28" i="1" s="1"/>
  <c r="H28" i="1"/>
  <c r="L28" i="1" s="1"/>
  <c r="F29" i="1"/>
  <c r="J29" i="1" s="1"/>
  <c r="G29" i="1"/>
  <c r="K29" i="1" s="1"/>
  <c r="H29" i="1"/>
  <c r="L29" i="1" s="1"/>
  <c r="I30" i="1"/>
  <c r="F30" i="1"/>
  <c r="J30" i="1" s="1"/>
  <c r="G30" i="1"/>
  <c r="K30" i="1" s="1"/>
  <c r="H30" i="1"/>
  <c r="L30" i="1" s="1"/>
  <c r="I31" i="1"/>
  <c r="F31" i="1"/>
  <c r="J31" i="1" s="1"/>
  <c r="G31" i="1"/>
  <c r="K31" i="1" s="1"/>
  <c r="H31" i="1"/>
  <c r="L31" i="1" s="1"/>
  <c r="I32" i="1"/>
  <c r="F32" i="1"/>
  <c r="J32" i="1" s="1"/>
  <c r="G32" i="1"/>
  <c r="K32" i="1" s="1"/>
  <c r="H32" i="1"/>
  <c r="L32" i="1" s="1"/>
  <c r="F33" i="1"/>
  <c r="J33" i="1" s="1"/>
  <c r="G33" i="1"/>
  <c r="K33" i="1" s="1"/>
  <c r="H33" i="1"/>
  <c r="L33" i="1" s="1"/>
  <c r="I34" i="1"/>
  <c r="F34" i="1"/>
  <c r="J34" i="1" s="1"/>
  <c r="G34" i="1"/>
  <c r="K34" i="1" s="1"/>
  <c r="H34" i="1"/>
  <c r="L34" i="1" s="1"/>
  <c r="I35" i="1"/>
  <c r="F35" i="1"/>
  <c r="J35" i="1" s="1"/>
  <c r="G35" i="1"/>
  <c r="K35" i="1" s="1"/>
  <c r="H35" i="1"/>
  <c r="L35" i="1" s="1"/>
  <c r="I36" i="1"/>
  <c r="F36" i="1"/>
  <c r="J36" i="1" s="1"/>
  <c r="G36" i="1"/>
  <c r="K36" i="1" s="1"/>
  <c r="H36" i="1"/>
  <c r="L36" i="1" s="1"/>
  <c r="F37" i="1"/>
  <c r="J37" i="1" s="1"/>
  <c r="G37" i="1"/>
  <c r="K37" i="1" s="1"/>
  <c r="H37" i="1"/>
  <c r="L37" i="1" s="1"/>
  <c r="I38" i="1"/>
  <c r="F38" i="1"/>
  <c r="J38" i="1" s="1"/>
  <c r="G38" i="1"/>
  <c r="K38" i="1" s="1"/>
  <c r="H38" i="1"/>
  <c r="L38" i="1" s="1"/>
  <c r="I39" i="1"/>
  <c r="F39" i="1"/>
  <c r="J39" i="1" s="1"/>
  <c r="G39" i="1"/>
  <c r="K39" i="1" s="1"/>
  <c r="H39" i="1"/>
  <c r="L39" i="1" s="1"/>
  <c r="F40" i="1"/>
  <c r="J40" i="1" s="1"/>
  <c r="G40" i="1"/>
  <c r="K40" i="1" s="1"/>
  <c r="H40" i="1"/>
  <c r="L40" i="1" s="1"/>
  <c r="F41" i="1"/>
  <c r="J41" i="1" s="1"/>
  <c r="G41" i="1"/>
  <c r="K41" i="1" s="1"/>
  <c r="H41" i="1"/>
  <c r="L41" i="1" s="1"/>
  <c r="I42" i="1"/>
  <c r="F42" i="1"/>
  <c r="J42" i="1" s="1"/>
  <c r="G42" i="1"/>
  <c r="K42" i="1" s="1"/>
  <c r="H42" i="1"/>
  <c r="L42" i="1" s="1"/>
  <c r="I43" i="1"/>
  <c r="F43" i="1"/>
  <c r="J43" i="1" s="1"/>
  <c r="G43" i="1"/>
  <c r="K43" i="1" s="1"/>
  <c r="H43" i="1"/>
  <c r="L43" i="1" s="1"/>
  <c r="F44" i="1"/>
  <c r="J44" i="1" s="1"/>
  <c r="G44" i="1"/>
  <c r="K44" i="1" s="1"/>
  <c r="H44" i="1"/>
  <c r="L44" i="1" s="1"/>
  <c r="F45" i="1"/>
  <c r="J45" i="1" s="1"/>
  <c r="G45" i="1"/>
  <c r="K45" i="1" s="1"/>
  <c r="H45" i="1"/>
  <c r="L45" i="1" s="1"/>
  <c r="I46" i="1"/>
  <c r="F46" i="1"/>
  <c r="J46" i="1" s="1"/>
  <c r="G46" i="1"/>
  <c r="K46" i="1" s="1"/>
  <c r="H46" i="1"/>
  <c r="L46" i="1" s="1"/>
  <c r="I47" i="1"/>
  <c r="F47" i="1"/>
  <c r="J47" i="1" s="1"/>
  <c r="G47" i="1"/>
  <c r="K47" i="1" s="1"/>
  <c r="H47" i="1"/>
  <c r="L47" i="1" s="1"/>
  <c r="I48" i="1"/>
  <c r="F48" i="1"/>
  <c r="J48" i="1" s="1"/>
  <c r="G48" i="1"/>
  <c r="K48" i="1" s="1"/>
  <c r="H48" i="1"/>
  <c r="L48" i="1" s="1"/>
  <c r="F49" i="1"/>
  <c r="J49" i="1" s="1"/>
  <c r="G49" i="1"/>
  <c r="K49" i="1" s="1"/>
  <c r="H49" i="1"/>
  <c r="L49" i="1" s="1"/>
  <c r="H6" i="1"/>
  <c r="L6" i="1" s="1"/>
  <c r="G6" i="1"/>
  <c r="K6" i="1" s="1"/>
  <c r="F6" i="1"/>
  <c r="J6" i="1" s="1"/>
  <c r="M49" i="1" l="1"/>
  <c r="M33" i="1"/>
  <c r="M41" i="1"/>
  <c r="M29" i="1"/>
  <c r="M8" i="1"/>
  <c r="M45" i="1"/>
  <c r="M37" i="1"/>
  <c r="M25" i="1"/>
  <c r="M12" i="1"/>
  <c r="M11" i="1"/>
  <c r="M48" i="1"/>
  <c r="M46" i="1"/>
  <c r="M43" i="1"/>
  <c r="M40" i="1"/>
  <c r="M38" i="1"/>
  <c r="M35" i="1"/>
  <c r="M32" i="1"/>
  <c r="M30" i="1"/>
  <c r="M28" i="1"/>
  <c r="M26" i="1"/>
  <c r="M23" i="1"/>
  <c r="M20" i="1"/>
  <c r="M15" i="1"/>
  <c r="M47" i="1"/>
  <c r="M44" i="1"/>
  <c r="M42" i="1"/>
  <c r="M39" i="1"/>
  <c r="M36" i="1"/>
  <c r="M34" i="1"/>
  <c r="M31" i="1"/>
  <c r="M27" i="1"/>
  <c r="M24" i="1"/>
  <c r="M22" i="1"/>
  <c r="M19" i="1"/>
  <c r="M16" i="1"/>
  <c r="M7" i="1"/>
  <c r="M6" i="1"/>
  <c r="M21" i="1"/>
  <c r="M18" i="1"/>
  <c r="M17" i="1"/>
  <c r="M14" i="1"/>
  <c r="M13" i="1"/>
  <c r="M10" i="1"/>
  <c r="M9" i="1"/>
</calcChain>
</file>

<file path=xl/sharedStrings.xml><?xml version="1.0" encoding="utf-8"?>
<sst xmlns="http://schemas.openxmlformats.org/spreadsheetml/2006/main" count="17" uniqueCount="16">
  <si>
    <t>RealTemp</t>
  </si>
  <si>
    <t>ModTemp</t>
  </si>
  <si>
    <t>SetPoint</t>
  </si>
  <si>
    <t>K1</t>
  </si>
  <si>
    <t>K2</t>
  </si>
  <si>
    <t>K3</t>
  </si>
  <si>
    <t>K4</t>
  </si>
  <si>
    <t>ModTemp1</t>
  </si>
  <si>
    <t>ModTemp2</t>
  </si>
  <si>
    <t>ModTemp3</t>
  </si>
  <si>
    <t>ModTemp4</t>
  </si>
  <si>
    <t>Section1</t>
  </si>
  <si>
    <t>Section2</t>
  </si>
  <si>
    <t>Section3</t>
  </si>
  <si>
    <t>Section4</t>
  </si>
  <si>
    <t>Adjust of the Actual Temperature to put it in the Temperature PID in order to avoid a sobreoscilation in the starting and get a proper behavior when the system is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</si>
</sst>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4"/>
          <c:tx>
            <c:strRef>
              <c:f>Sheet1!$N$5</c:f>
              <c:strCache>
                <c:ptCount val="1"/>
                <c:pt idx="0">
                  <c:v>RealTemp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Sheet1!$D$6:$D$49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xVal>
          <c:yVal>
            <c:numRef>
              <c:f>Sheet1!$N$6:$N$49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86-4B31-B964-EAFBE2B15EF6}"/>
            </c:ext>
          </c:extLst>
        </c:ser>
        <c:ser>
          <c:idx val="0"/>
          <c:order val="5"/>
          <c:tx>
            <c:strRef>
              <c:f>Sheet1!$M$5</c:f>
              <c:strCache>
                <c:ptCount val="1"/>
                <c:pt idx="0">
                  <c:v>ModTemp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Sheet1!$D$6:$D$49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xVal>
          <c:yVal>
            <c:numRef>
              <c:f>Sheet1!$M$6:$M$49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30.200000000000706</c:v>
                </c:pt>
                <c:pt idx="19">
                  <c:v>31.59999999999998</c:v>
                </c:pt>
                <c:pt idx="20">
                  <c:v>33.000000000000696</c:v>
                </c:pt>
                <c:pt idx="21">
                  <c:v>34.400000000000716</c:v>
                </c:pt>
                <c:pt idx="22">
                  <c:v>35.800000000000686</c:v>
                </c:pt>
                <c:pt idx="23">
                  <c:v>37.200000000000706</c:v>
                </c:pt>
                <c:pt idx="24">
                  <c:v>38.600000000000676</c:v>
                </c:pt>
                <c:pt idx="25">
                  <c:v>40.000000000000298</c:v>
                </c:pt>
                <c:pt idx="26">
                  <c:v>40.600000000000307</c:v>
                </c:pt>
                <c:pt idx="27">
                  <c:v>41.200000000000294</c:v>
                </c:pt>
                <c:pt idx="28">
                  <c:v>41.800000000000303</c:v>
                </c:pt>
                <c:pt idx="29">
                  <c:v>42.40000000000029</c:v>
                </c:pt>
                <c:pt idx="30">
                  <c:v>43.000000000000298</c:v>
                </c:pt>
                <c:pt idx="31">
                  <c:v>43.600000000000307</c:v>
                </c:pt>
                <c:pt idx="32">
                  <c:v>44.200000000000294</c:v>
                </c:pt>
                <c:pt idx="33">
                  <c:v>51.200000000000706</c:v>
                </c:pt>
                <c:pt idx="34">
                  <c:v>52.600000000000676</c:v>
                </c:pt>
                <c:pt idx="35">
                  <c:v>54.000000000000696</c:v>
                </c:pt>
                <c:pt idx="36">
                  <c:v>55.400000000000716</c:v>
                </c:pt>
                <c:pt idx="37">
                  <c:v>56.800000000000686</c:v>
                </c:pt>
                <c:pt idx="38">
                  <c:v>58.200000000000706</c:v>
                </c:pt>
                <c:pt idx="39">
                  <c:v>59.600000000000676</c:v>
                </c:pt>
                <c:pt idx="40">
                  <c:v>61.000000000000696</c:v>
                </c:pt>
                <c:pt idx="41">
                  <c:v>62.400000000000716</c:v>
                </c:pt>
                <c:pt idx="42">
                  <c:v>63.800000000000686</c:v>
                </c:pt>
                <c:pt idx="43">
                  <c:v>65.200000000000699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6-4B31-B964-EAFBE2B1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216703"/>
        <c:axId val="1114161487"/>
      </c:scatterChart>
      <c:scatterChart>
        <c:scatterStyle val="lineMarker"/>
        <c:varyColors val="0"/>
        <c:ser>
          <c:idx val="2"/>
          <c:order val="0"/>
          <c:tx>
            <c:strRef>
              <c:f>Sheet1!$E$5</c:f>
              <c:strCache>
                <c:ptCount val="1"/>
                <c:pt idx="0">
                  <c:v>Section1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Sheet1!$D$6:$D$49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xVal>
          <c:yVal>
            <c:numRef>
              <c:f>Sheet1!$E$6:$E$49</c:f>
              <c:numCache>
                <c:formatCode>0.0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86-4B31-B964-EAFBE2B15EF6}"/>
            </c:ext>
          </c:extLst>
        </c:ser>
        <c:ser>
          <c:idx val="3"/>
          <c:order val="1"/>
          <c:tx>
            <c:strRef>
              <c:f>Sheet1!$F$5</c:f>
              <c:strCache>
                <c:ptCount val="1"/>
                <c:pt idx="0">
                  <c:v>Section2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Sheet1!$D$6:$D$49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xVal>
          <c:yVal>
            <c:numRef>
              <c:f>Sheet1!$F$6:$F$49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86-4B31-B964-EAFBE2B15EF6}"/>
            </c:ext>
          </c:extLst>
        </c:ser>
        <c:ser>
          <c:idx val="4"/>
          <c:order val="2"/>
          <c:tx>
            <c:strRef>
              <c:f>Sheet1!$G$5</c:f>
              <c:strCache>
                <c:ptCount val="1"/>
                <c:pt idx="0">
                  <c:v>Section3</c:v>
                </c:pt>
              </c:strCache>
            </c:strRef>
          </c:tx>
          <c:spPr>
            <a:ln w="19050" cap="rnd">
              <a:solidFill>
                <a:srgbClr val="7030A0">
                  <a:alpha val="99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Sheet1!$D$6:$D$49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xVal>
          <c:yVal>
            <c:numRef>
              <c:f>Sheet1!$G$6:$G$49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86-4B31-B964-EAFBE2B15EF6}"/>
            </c:ext>
          </c:extLst>
        </c:ser>
        <c:ser>
          <c:idx val="5"/>
          <c:order val="3"/>
          <c:tx>
            <c:strRef>
              <c:f>Sheet1!$H$5</c:f>
              <c:strCache>
                <c:ptCount val="1"/>
                <c:pt idx="0">
                  <c:v>Section4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Sheet1!$D$6:$D$49</c:f>
              <c:numCache>
                <c:formatCode>0.0</c:formatCode>
                <c:ptCount val="44"/>
                <c:pt idx="0">
                  <c:v>35</c:v>
                </c:pt>
                <c:pt idx="1">
                  <c:v>35.200000000000003</c:v>
                </c:pt>
                <c:pt idx="2">
                  <c:v>35.4</c:v>
                </c:pt>
                <c:pt idx="3">
                  <c:v>35.6</c:v>
                </c:pt>
                <c:pt idx="4">
                  <c:v>35.799999999999997</c:v>
                </c:pt>
                <c:pt idx="5">
                  <c:v>36</c:v>
                </c:pt>
                <c:pt idx="6">
                  <c:v>36.200000000000003</c:v>
                </c:pt>
                <c:pt idx="7">
                  <c:v>36.4</c:v>
                </c:pt>
                <c:pt idx="8">
                  <c:v>36.6</c:v>
                </c:pt>
                <c:pt idx="9">
                  <c:v>36.799999999999997</c:v>
                </c:pt>
                <c:pt idx="10">
                  <c:v>37</c:v>
                </c:pt>
                <c:pt idx="11">
                  <c:v>37.200000000000003</c:v>
                </c:pt>
                <c:pt idx="12">
                  <c:v>37.4</c:v>
                </c:pt>
                <c:pt idx="13">
                  <c:v>37.6</c:v>
                </c:pt>
                <c:pt idx="14">
                  <c:v>37.799999999999997</c:v>
                </c:pt>
                <c:pt idx="15">
                  <c:v>38</c:v>
                </c:pt>
                <c:pt idx="16">
                  <c:v>38.200000000000102</c:v>
                </c:pt>
                <c:pt idx="17">
                  <c:v>38.4</c:v>
                </c:pt>
                <c:pt idx="18">
                  <c:v>38.600000000000101</c:v>
                </c:pt>
                <c:pt idx="19">
                  <c:v>38.799999999999997</c:v>
                </c:pt>
                <c:pt idx="20">
                  <c:v>39.000000000000099</c:v>
                </c:pt>
                <c:pt idx="21">
                  <c:v>39.200000000000102</c:v>
                </c:pt>
                <c:pt idx="22">
                  <c:v>39.400000000000098</c:v>
                </c:pt>
                <c:pt idx="23">
                  <c:v>39.600000000000101</c:v>
                </c:pt>
                <c:pt idx="24">
                  <c:v>39.800000000000097</c:v>
                </c:pt>
                <c:pt idx="25">
                  <c:v>40.000000000000099</c:v>
                </c:pt>
                <c:pt idx="26">
                  <c:v>40.200000000000102</c:v>
                </c:pt>
                <c:pt idx="27">
                  <c:v>40.400000000000098</c:v>
                </c:pt>
                <c:pt idx="28">
                  <c:v>40.600000000000101</c:v>
                </c:pt>
                <c:pt idx="29">
                  <c:v>40.800000000000097</c:v>
                </c:pt>
                <c:pt idx="30">
                  <c:v>41.000000000000099</c:v>
                </c:pt>
                <c:pt idx="31">
                  <c:v>41.200000000000102</c:v>
                </c:pt>
                <c:pt idx="32">
                  <c:v>41.400000000000098</c:v>
                </c:pt>
                <c:pt idx="33">
                  <c:v>41.600000000000101</c:v>
                </c:pt>
                <c:pt idx="34">
                  <c:v>41.800000000000097</c:v>
                </c:pt>
                <c:pt idx="35">
                  <c:v>42.000000000000099</c:v>
                </c:pt>
                <c:pt idx="36">
                  <c:v>42.200000000000102</c:v>
                </c:pt>
                <c:pt idx="37">
                  <c:v>42.400000000000098</c:v>
                </c:pt>
                <c:pt idx="38">
                  <c:v>42.600000000000101</c:v>
                </c:pt>
                <c:pt idx="39">
                  <c:v>42.800000000000097</c:v>
                </c:pt>
                <c:pt idx="40">
                  <c:v>43.000000000000099</c:v>
                </c:pt>
                <c:pt idx="41">
                  <c:v>43.200000000000102</c:v>
                </c:pt>
                <c:pt idx="42">
                  <c:v>43.400000000000098</c:v>
                </c:pt>
                <c:pt idx="43">
                  <c:v>43.600000000000101</c:v>
                </c:pt>
              </c:numCache>
            </c:numRef>
          </c:xVal>
          <c:yVal>
            <c:numRef>
              <c:f>Sheet1!$H$6:$H$49</c:f>
              <c:numCache>
                <c:formatCode>0.0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486-4B31-B964-EAFBE2B1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045711"/>
        <c:axId val="1128044879"/>
      </c:scatterChart>
      <c:valAx>
        <c:axId val="971216703"/>
        <c:scaling>
          <c:orientation val="minMax"/>
          <c:min val="3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161487"/>
        <c:crosses val="autoZero"/>
        <c:crossBetween val="midCat"/>
      </c:valAx>
      <c:valAx>
        <c:axId val="1114161487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16703"/>
        <c:crosses val="autoZero"/>
        <c:crossBetween val="midCat"/>
      </c:valAx>
      <c:valAx>
        <c:axId val="1128044879"/>
        <c:scaling>
          <c:orientation val="minMax"/>
          <c:max val="2"/>
          <c:min val="0.9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045711"/>
        <c:crosses val="max"/>
        <c:crossBetween val="midCat"/>
      </c:valAx>
      <c:valAx>
        <c:axId val="1128045711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28044879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342899</xdr:colOff>
      <xdr:row>6</xdr:row>
      <xdr:rowOff>171450</xdr:rowOff>
    </xdr:from>
    <xdr:to>
      <xdr:col>14</xdr:col>
      <xdr:colOff>352425</xdr:colOff>
      <xdr:row>29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BB287-4A70-441C-B076-1E55A3C50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9"/>
  <sheetViews>
    <sheetView tabSelected="1" workbookViewId="0">
      <selection activeCell="R21" sqref="R21"/>
    </sheetView>
  </sheetViews>
  <sheetFormatPr defaultRowHeight="15" x14ac:dyDescent="0.25"/>
  <cols>
    <col min="2" max="2" width="9.140625" style="1"/>
    <col min="3" max="3" width="9.140625" customWidth="1"/>
    <col min="4" max="10" width="12.42578125" style="1" customWidth="1"/>
    <col min="12" max="12" width="10.85546875" customWidth="1"/>
    <col min="13" max="13" width="11.28515625" customWidth="1"/>
    <col min="14" max="14" width="10" customWidth="1"/>
  </cols>
  <sheetData>
    <row r="2" spans="1:14" ht="18.75" x14ac:dyDescent="0.3">
      <c r="B2" s="2" t="s">
        <v>15</v>
      </c>
    </row>
    <row r="5" spans="1:14" x14ac:dyDescent="0.25">
      <c r="D5" t="s">
        <v>0</v>
      </c>
      <c r="E5" t="s">
        <v>11</v>
      </c>
      <c r="F5" t="s">
        <v>12</v>
      </c>
      <c r="G5" t="s">
        <v>13</v>
      </c>
      <c r="H5" t="s">
        <v>14</v>
      </c>
      <c r="I5" t="s">
        <v>7</v>
      </c>
      <c r="J5" t="s">
        <v>8</v>
      </c>
      <c r="K5" t="s">
        <v>9</v>
      </c>
      <c r="L5" t="s">
        <v>10</v>
      </c>
      <c r="M5" t="s">
        <v>1</v>
      </c>
      <c r="N5" t="s">
        <v>0</v>
      </c>
    </row>
    <row r="6" spans="1:14" x14ac:dyDescent="0.25">
      <c r="A6" t="s">
        <v>2</v>
      </c>
      <c r="B6" s="1">
        <v>40</v>
      </c>
      <c r="D6" s="1">
        <v>35</v>
      </c>
      <c r="E6" s="1">
        <f>IF($B$6-$D6&gt;1.5,1,0)</f>
        <v>1</v>
      </c>
      <c r="F6" s="1">
        <f>IF(AND($B$6-$D6&lt;1.5,$D6&lt;$B$6),1,0)</f>
        <v>0</v>
      </c>
      <c r="G6" s="1">
        <f>IF(AND(-$B$6+$D6&lt;1.5,$D6&gt;$B$6),1,0)</f>
        <v>0</v>
      </c>
      <c r="H6" s="1">
        <f>IF(-$B$6+$D6&gt;1.5,1,0)</f>
        <v>0</v>
      </c>
      <c r="I6" s="1">
        <f>E6*($D6-($B$6-$D6)*$B$9)</f>
        <v>35</v>
      </c>
      <c r="J6" s="1">
        <f>F6*($D6-($B$6-$D6)*$B$10)</f>
        <v>0</v>
      </c>
      <c r="K6" s="1">
        <f>G6*($D6-($B$6-$D6)*$B$11)</f>
        <v>0</v>
      </c>
      <c r="L6" s="1">
        <f>H6*($D6-($B$6-$D6)*$B$12)</f>
        <v>0</v>
      </c>
      <c r="M6" s="1">
        <f>MAX(I6:L6)</f>
        <v>35</v>
      </c>
      <c r="N6" s="1">
        <f>D6</f>
        <v>35</v>
      </c>
    </row>
    <row r="7" spans="1:14" x14ac:dyDescent="0.25">
      <c r="D7" s="1">
        <v>35.200000000000003</v>
      </c>
      <c r="E7" s="1">
        <f>IF($B$6-$D7&gt;1.5,1,0)</f>
        <v>1</v>
      </c>
      <c r="F7" s="1">
        <f>IF(AND($B$6-$D7&lt;1.5,$D7&lt;$B$6),1,0)</f>
        <v>0</v>
      </c>
      <c r="G7" s="1">
        <f>IF(AND(-$B$6+$D7&lt;1.5,$D7&gt;$B$6),1,0)</f>
        <v>0</v>
      </c>
      <c r="H7" s="1">
        <f>IF(-$B$6+$D7&gt;1.5,1,0)</f>
        <v>0</v>
      </c>
      <c r="I7" s="1">
        <f>E7*(D7-($B$6-D7)*$B$9)</f>
        <v>35.200000000000003</v>
      </c>
      <c r="J7" s="1">
        <f>F7*($D7-($B$6-$D7)*$B$10)</f>
        <v>0</v>
      </c>
      <c r="K7" s="1">
        <f>G7*($D7-($B$6-$D7)*$B$11)</f>
        <v>0</v>
      </c>
      <c r="L7" s="1">
        <f>H7*($D7-($B$6-$D7)*$B$12)</f>
        <v>0</v>
      </c>
      <c r="M7" s="1">
        <f t="shared" ref="M7:M49" si="0">MAX(I7:L7)</f>
        <v>35.200000000000003</v>
      </c>
      <c r="N7" s="1">
        <f t="shared" ref="N7:N49" si="1">D7</f>
        <v>35.200000000000003</v>
      </c>
    </row>
    <row r="8" spans="1:14" x14ac:dyDescent="0.25">
      <c r="D8" s="1">
        <v>35.4</v>
      </c>
      <c r="E8" s="1">
        <f>IF($B$6-$D8&gt;1.5,1,0)</f>
        <v>1</v>
      </c>
      <c r="F8" s="1">
        <f>IF(AND($B$6-$D8&lt;1.5,$D8&lt;$B$6),1,0)</f>
        <v>0</v>
      </c>
      <c r="G8" s="1">
        <f>IF(AND(-$B$6+$D8&lt;1.5,$D8&gt;$B$6),1,0)</f>
        <v>0</v>
      </c>
      <c r="H8" s="1">
        <f>IF(-$B$6+$D8&gt;1.5,1,0)</f>
        <v>0</v>
      </c>
      <c r="I8" s="1">
        <f>E8*(D8-($B$6-D8)*$B$9)</f>
        <v>35.4</v>
      </c>
      <c r="J8" s="1">
        <f>F8*($D8-($B$6-$D8)*$B$10)</f>
        <v>0</v>
      </c>
      <c r="K8" s="1">
        <f>G8*($D8-($B$6-$D8)*$B$11)</f>
        <v>0</v>
      </c>
      <c r="L8" s="1">
        <f>H8*($D8-($B$6-$D8)*$B$12)</f>
        <v>0</v>
      </c>
      <c r="M8" s="1">
        <f t="shared" si="0"/>
        <v>35.4</v>
      </c>
      <c r="N8" s="1">
        <f t="shared" si="1"/>
        <v>35.4</v>
      </c>
    </row>
    <row r="9" spans="1:14" x14ac:dyDescent="0.25">
      <c r="A9" t="s">
        <v>3</v>
      </c>
      <c r="B9" s="1">
        <v>0</v>
      </c>
      <c r="D9" s="1">
        <v>35.6</v>
      </c>
      <c r="E9" s="1">
        <f>IF($B$6-$D9&gt;1.5,1,0)</f>
        <v>1</v>
      </c>
      <c r="F9" s="1">
        <f>IF(AND($B$6-$D9&lt;1.5,$D9&lt;$B$6),1,0)</f>
        <v>0</v>
      </c>
      <c r="G9" s="1">
        <f>IF(AND(-$B$6+$D9&lt;1.5,$D9&gt;$B$6),1,0)</f>
        <v>0</v>
      </c>
      <c r="H9" s="1">
        <f>IF(-$B$6+$D9&gt;1.5,1,0)</f>
        <v>0</v>
      </c>
      <c r="I9" s="1">
        <f>E9*(D9-($B$6-D9)*$B$9)</f>
        <v>35.6</v>
      </c>
      <c r="J9" s="1">
        <f>F9*($D9-($B$6-$D9)*$B$10)</f>
        <v>0</v>
      </c>
      <c r="K9" s="1">
        <f>G9*($D9-($B$6-$D9)*$B$11)</f>
        <v>0</v>
      </c>
      <c r="L9" s="1">
        <f>H9*($D9-($B$6-$D9)*$B$12)</f>
        <v>0</v>
      </c>
      <c r="M9" s="1">
        <f t="shared" si="0"/>
        <v>35.6</v>
      </c>
      <c r="N9" s="1">
        <f t="shared" si="1"/>
        <v>35.6</v>
      </c>
    </row>
    <row r="10" spans="1:14" x14ac:dyDescent="0.25">
      <c r="A10" t="s">
        <v>4</v>
      </c>
      <c r="B10" s="1">
        <v>6</v>
      </c>
      <c r="D10" s="1">
        <v>35.799999999999997</v>
      </c>
      <c r="E10" s="1">
        <f>IF($B$6-$D10&gt;1.5,1,0)</f>
        <v>1</v>
      </c>
      <c r="F10" s="1">
        <f>IF(AND($B$6-$D10&lt;1.5,$D10&lt;$B$6),1,0)</f>
        <v>0</v>
      </c>
      <c r="G10" s="1">
        <f>IF(AND(-$B$6+$D10&lt;1.5,$D10&gt;$B$6),1,0)</f>
        <v>0</v>
      </c>
      <c r="H10" s="1">
        <f>IF(-$B$6+$D10&gt;1.5,1,0)</f>
        <v>0</v>
      </c>
      <c r="I10" s="1">
        <f>E10*(D10-($B$6-D10)*$B$9)</f>
        <v>35.799999999999997</v>
      </c>
      <c r="J10" s="1">
        <f>F10*($D10-($B$6-$D10)*$B$10)</f>
        <v>0</v>
      </c>
      <c r="K10" s="1">
        <f>G10*($D10-($B$6-$D10)*$B$11)</f>
        <v>0</v>
      </c>
      <c r="L10" s="1">
        <f>H10*($D10-($B$6-$D10)*$B$12)</f>
        <v>0</v>
      </c>
      <c r="M10" s="1">
        <f t="shared" si="0"/>
        <v>35.799999999999997</v>
      </c>
      <c r="N10" s="1">
        <f t="shared" si="1"/>
        <v>35.799999999999997</v>
      </c>
    </row>
    <row r="11" spans="1:14" x14ac:dyDescent="0.25">
      <c r="A11" t="s">
        <v>5</v>
      </c>
      <c r="B11" s="1">
        <v>2</v>
      </c>
      <c r="D11" s="1">
        <v>36</v>
      </c>
      <c r="E11" s="1">
        <f>IF($B$6-$D11&gt;1.5,1,0)</f>
        <v>1</v>
      </c>
      <c r="F11" s="1">
        <f>IF(AND($B$6-$D11&lt;1.5,$D11&lt;$B$6),1,0)</f>
        <v>0</v>
      </c>
      <c r="G11" s="1">
        <f>IF(AND(-$B$6+$D11&lt;1.5,$D11&gt;$B$6),1,0)</f>
        <v>0</v>
      </c>
      <c r="H11" s="1">
        <f>IF(-$B$6+$D11&gt;1.5,1,0)</f>
        <v>0</v>
      </c>
      <c r="I11" s="1">
        <f>E11*(D11-($B$6-D11)*$B$9)</f>
        <v>36</v>
      </c>
      <c r="J11" s="1">
        <f>F11*($D11-($B$6-$D11)*$B$10)</f>
        <v>0</v>
      </c>
      <c r="K11" s="1">
        <f>G11*($D11-($B$6-$D11)*$B$11)</f>
        <v>0</v>
      </c>
      <c r="L11" s="1">
        <f>H11*($D11-($B$6-$D11)*$B$12)</f>
        <v>0</v>
      </c>
      <c r="M11" s="1">
        <f t="shared" si="0"/>
        <v>36</v>
      </c>
      <c r="N11" s="1">
        <f t="shared" si="1"/>
        <v>36</v>
      </c>
    </row>
    <row r="12" spans="1:14" x14ac:dyDescent="0.25">
      <c r="A12" t="s">
        <v>6</v>
      </c>
      <c r="B12" s="1">
        <v>6</v>
      </c>
      <c r="D12" s="1">
        <v>36.200000000000003</v>
      </c>
      <c r="E12" s="1">
        <f>IF($B$6-$D12&gt;1.5,1,0)</f>
        <v>1</v>
      </c>
      <c r="F12" s="1">
        <f>IF(AND($B$6-$D12&lt;1.5,$D12&lt;$B$6),1,0)</f>
        <v>0</v>
      </c>
      <c r="G12" s="1">
        <f>IF(AND(-$B$6+$D12&lt;1.5,$D12&gt;$B$6),1,0)</f>
        <v>0</v>
      </c>
      <c r="H12" s="1">
        <f>IF(-$B$6+$D12&gt;1.5,1,0)</f>
        <v>0</v>
      </c>
      <c r="I12" s="1">
        <f>E12*(D12-($B$6-D12)*$B$9)</f>
        <v>36.200000000000003</v>
      </c>
      <c r="J12" s="1">
        <f>F12*($D12-($B$6-$D12)*$B$10)</f>
        <v>0</v>
      </c>
      <c r="K12" s="1">
        <f>G12*($D12-($B$6-$D12)*$B$11)</f>
        <v>0</v>
      </c>
      <c r="L12" s="1">
        <f>H12*($D12-($B$6-$D12)*$B$12)</f>
        <v>0</v>
      </c>
      <c r="M12" s="1">
        <f t="shared" si="0"/>
        <v>36.200000000000003</v>
      </c>
      <c r="N12" s="1">
        <f t="shared" si="1"/>
        <v>36.200000000000003</v>
      </c>
    </row>
    <row r="13" spans="1:14" x14ac:dyDescent="0.25">
      <c r="D13" s="1">
        <v>36.4</v>
      </c>
      <c r="E13" s="1">
        <f>IF($B$6-$D13&gt;1.5,1,0)</f>
        <v>1</v>
      </c>
      <c r="F13" s="1">
        <f>IF(AND($B$6-$D13&lt;1.5,$D13&lt;$B$6),1,0)</f>
        <v>0</v>
      </c>
      <c r="G13" s="1">
        <f>IF(AND(-$B$6+$D13&lt;1.5,$D13&gt;$B$6),1,0)</f>
        <v>0</v>
      </c>
      <c r="H13" s="1">
        <f>IF(-$B$6+$D13&gt;1.5,1,0)</f>
        <v>0</v>
      </c>
      <c r="I13" s="1">
        <f>E13*(D13-($B$6-D13)*$B$9)</f>
        <v>36.4</v>
      </c>
      <c r="J13" s="1">
        <f>F13*($D13-($B$6-$D13)*$B$10)</f>
        <v>0</v>
      </c>
      <c r="K13" s="1">
        <f>G13*($D13-($B$6-$D13)*$B$11)</f>
        <v>0</v>
      </c>
      <c r="L13" s="1">
        <f>H13*($D13-($B$6-$D13)*$B$12)</f>
        <v>0</v>
      </c>
      <c r="M13" s="1">
        <f t="shared" si="0"/>
        <v>36.4</v>
      </c>
      <c r="N13" s="1">
        <f t="shared" si="1"/>
        <v>36.4</v>
      </c>
    </row>
    <row r="14" spans="1:14" x14ac:dyDescent="0.25">
      <c r="D14" s="1">
        <v>36.6</v>
      </c>
      <c r="E14" s="1">
        <f>IF($B$6-$D14&gt;1.5,1,0)</f>
        <v>1</v>
      </c>
      <c r="F14" s="1">
        <f>IF(AND($B$6-$D14&lt;1.5,$D14&lt;$B$6),1,0)</f>
        <v>0</v>
      </c>
      <c r="G14" s="1">
        <f>IF(AND(-$B$6+$D14&lt;1.5,$D14&gt;$B$6),1,0)</f>
        <v>0</v>
      </c>
      <c r="H14" s="1">
        <f>IF(-$B$6+$D14&gt;1.5,1,0)</f>
        <v>0</v>
      </c>
      <c r="I14" s="1">
        <f>E14*(D14-($B$6-D14)*$B$9)</f>
        <v>36.6</v>
      </c>
      <c r="J14" s="1">
        <f>F14*($D14-($B$6-$D14)*$B$10)</f>
        <v>0</v>
      </c>
      <c r="K14" s="1">
        <f>G14*($D14-($B$6-$D14)*$B$11)</f>
        <v>0</v>
      </c>
      <c r="L14" s="1">
        <f>H14*($D14-($B$6-$D14)*$B$12)</f>
        <v>0</v>
      </c>
      <c r="M14" s="1">
        <f t="shared" si="0"/>
        <v>36.6</v>
      </c>
      <c r="N14" s="1">
        <f t="shared" si="1"/>
        <v>36.6</v>
      </c>
    </row>
    <row r="15" spans="1:14" x14ac:dyDescent="0.25">
      <c r="D15" s="1">
        <v>36.799999999999997</v>
      </c>
      <c r="E15" s="1">
        <f>IF($B$6-$D15&gt;1.5,1,0)</f>
        <v>1</v>
      </c>
      <c r="F15" s="1">
        <f>IF(AND($B$6-$D15&lt;1.5,$D15&lt;$B$6),1,0)</f>
        <v>0</v>
      </c>
      <c r="G15" s="1">
        <f>IF(AND(-$B$6+$D15&lt;1.5,$D15&gt;$B$6),1,0)</f>
        <v>0</v>
      </c>
      <c r="H15" s="1">
        <f>IF(-$B$6+$D15&gt;1.5,1,0)</f>
        <v>0</v>
      </c>
      <c r="I15" s="1">
        <f>E15*(D15-($B$6-D15)*$B$9)</f>
        <v>36.799999999999997</v>
      </c>
      <c r="J15" s="1">
        <f>F15*($D15-($B$6-$D15)*$B$10)</f>
        <v>0</v>
      </c>
      <c r="K15" s="1">
        <f>G15*($D15-($B$6-$D15)*$B$11)</f>
        <v>0</v>
      </c>
      <c r="L15" s="1">
        <f>H15*($D15-($B$6-$D15)*$B$12)</f>
        <v>0</v>
      </c>
      <c r="M15" s="1">
        <f t="shared" si="0"/>
        <v>36.799999999999997</v>
      </c>
      <c r="N15" s="1">
        <f t="shared" si="1"/>
        <v>36.799999999999997</v>
      </c>
    </row>
    <row r="16" spans="1:14" x14ac:dyDescent="0.25">
      <c r="D16" s="1">
        <v>37</v>
      </c>
      <c r="E16" s="1">
        <f>IF($B$6-$D16&gt;1.5,1,0)</f>
        <v>1</v>
      </c>
      <c r="F16" s="1">
        <f>IF(AND($B$6-$D16&lt;1.5,$D16&lt;$B$6),1,0)</f>
        <v>0</v>
      </c>
      <c r="G16" s="1">
        <f>IF(AND(-$B$6+$D16&lt;1.5,$D16&gt;$B$6),1,0)</f>
        <v>0</v>
      </c>
      <c r="H16" s="1">
        <f>IF(-$B$6+$D16&gt;1.5,1,0)</f>
        <v>0</v>
      </c>
      <c r="I16" s="1">
        <f>E16*(D16-($B$6-D16)*$B$9)</f>
        <v>37</v>
      </c>
      <c r="J16" s="1">
        <f>F16*($D16-($B$6-$D16)*$B$10)</f>
        <v>0</v>
      </c>
      <c r="K16" s="1">
        <f>G16*($D16-($B$6-$D16)*$B$11)</f>
        <v>0</v>
      </c>
      <c r="L16" s="1">
        <f>H16*($D16-($B$6-$D16)*$B$12)</f>
        <v>0</v>
      </c>
      <c r="M16" s="1">
        <f t="shared" si="0"/>
        <v>37</v>
      </c>
      <c r="N16" s="1">
        <f t="shared" si="1"/>
        <v>37</v>
      </c>
    </row>
    <row r="17" spans="4:14" x14ac:dyDescent="0.25">
      <c r="D17" s="1">
        <v>37.200000000000003</v>
      </c>
      <c r="E17" s="1">
        <f>IF($B$6-$D17&gt;1.5,1,0)</f>
        <v>1</v>
      </c>
      <c r="F17" s="1">
        <f>IF(AND($B$6-$D17&lt;1.5,$D17&lt;$B$6),1,0)</f>
        <v>0</v>
      </c>
      <c r="G17" s="1">
        <f>IF(AND(-$B$6+$D17&lt;1.5,$D17&gt;$B$6),1,0)</f>
        <v>0</v>
      </c>
      <c r="H17" s="1">
        <f>IF(-$B$6+$D17&gt;1.5,1,0)</f>
        <v>0</v>
      </c>
      <c r="I17" s="1">
        <f>E17*(D17-($B$6-D17)*$B$9)</f>
        <v>37.200000000000003</v>
      </c>
      <c r="J17" s="1">
        <f>F17*($D17-($B$6-$D17)*$B$10)</f>
        <v>0</v>
      </c>
      <c r="K17" s="1">
        <f>G17*($D17-($B$6-$D17)*$B$11)</f>
        <v>0</v>
      </c>
      <c r="L17" s="1">
        <f>H17*($D17-($B$6-$D17)*$B$12)</f>
        <v>0</v>
      </c>
      <c r="M17" s="1">
        <f t="shared" si="0"/>
        <v>37.200000000000003</v>
      </c>
      <c r="N17" s="1">
        <f t="shared" si="1"/>
        <v>37.200000000000003</v>
      </c>
    </row>
    <row r="18" spans="4:14" x14ac:dyDescent="0.25">
      <c r="D18" s="1">
        <v>37.4</v>
      </c>
      <c r="E18" s="1">
        <f>IF($B$6-$D18&gt;1.5,1,0)</f>
        <v>1</v>
      </c>
      <c r="F18" s="1">
        <f>IF(AND($B$6-$D18&lt;1.5,$D18&lt;$B$6),1,0)</f>
        <v>0</v>
      </c>
      <c r="G18" s="1">
        <f>IF(AND(-$B$6+$D18&lt;1.5,$D18&gt;$B$6),1,0)</f>
        <v>0</v>
      </c>
      <c r="H18" s="1">
        <f>IF(-$B$6+$D18&gt;1.5,1,0)</f>
        <v>0</v>
      </c>
      <c r="I18" s="1">
        <f>E18*(D18-($B$6-D18)*$B$9)</f>
        <v>37.4</v>
      </c>
      <c r="J18" s="1">
        <f>F18*($D18-($B$6-$D18)*$B$10)</f>
        <v>0</v>
      </c>
      <c r="K18" s="1">
        <f>G18*($D18-($B$6-$D18)*$B$11)</f>
        <v>0</v>
      </c>
      <c r="L18" s="1">
        <f>H18*($D18-($B$6-$D18)*$B$12)</f>
        <v>0</v>
      </c>
      <c r="M18" s="1">
        <f t="shared" si="0"/>
        <v>37.4</v>
      </c>
      <c r="N18" s="1">
        <f t="shared" si="1"/>
        <v>37.4</v>
      </c>
    </row>
    <row r="19" spans="4:14" x14ac:dyDescent="0.25">
      <c r="D19" s="1">
        <v>37.6</v>
      </c>
      <c r="E19" s="1">
        <f>IF($B$6-$D19&gt;1.5,1,0)</f>
        <v>1</v>
      </c>
      <c r="F19" s="1">
        <f>IF(AND($B$6-$D19&lt;1.5,$D19&lt;$B$6),1,0)</f>
        <v>0</v>
      </c>
      <c r="G19" s="1">
        <f>IF(AND(-$B$6+$D19&lt;1.5,$D19&gt;$B$6),1,0)</f>
        <v>0</v>
      </c>
      <c r="H19" s="1">
        <f>IF(-$B$6+$D19&gt;1.5,1,0)</f>
        <v>0</v>
      </c>
      <c r="I19" s="1">
        <f>E19*(D19-($B$6-D19)*$B$9)</f>
        <v>37.6</v>
      </c>
      <c r="J19" s="1">
        <f>F19*($D19-($B$6-$D19)*$B$10)</f>
        <v>0</v>
      </c>
      <c r="K19" s="1">
        <f>G19*($D19-($B$6-$D19)*$B$11)</f>
        <v>0</v>
      </c>
      <c r="L19" s="1">
        <f>H19*($D19-($B$6-$D19)*$B$12)</f>
        <v>0</v>
      </c>
      <c r="M19" s="1">
        <f t="shared" si="0"/>
        <v>37.6</v>
      </c>
      <c r="N19" s="1">
        <f t="shared" si="1"/>
        <v>37.6</v>
      </c>
    </row>
    <row r="20" spans="4:14" x14ac:dyDescent="0.25">
      <c r="D20" s="1">
        <v>37.799999999999997</v>
      </c>
      <c r="E20" s="1">
        <f>IF($B$6-$D20&gt;1.5,1,0)</f>
        <v>1</v>
      </c>
      <c r="F20" s="1">
        <f>IF(AND($B$6-$D20&lt;1.5,$D20&lt;$B$6),1,0)</f>
        <v>0</v>
      </c>
      <c r="G20" s="1">
        <f>IF(AND(-$B$6+$D20&lt;1.5,$D20&gt;$B$6),1,0)</f>
        <v>0</v>
      </c>
      <c r="H20" s="1">
        <f>IF(-$B$6+$D20&gt;1.5,1,0)</f>
        <v>0</v>
      </c>
      <c r="I20" s="1">
        <f>E20*(D20-($B$6-D20)*$B$9)</f>
        <v>37.799999999999997</v>
      </c>
      <c r="J20" s="1">
        <f>F20*($D20-($B$6-$D20)*$B$10)</f>
        <v>0</v>
      </c>
      <c r="K20" s="1">
        <f>G20*($D20-($B$6-$D20)*$B$11)</f>
        <v>0</v>
      </c>
      <c r="L20" s="1">
        <f>H20*($D20-($B$6-$D20)*$B$12)</f>
        <v>0</v>
      </c>
      <c r="M20" s="1">
        <f t="shared" si="0"/>
        <v>37.799999999999997</v>
      </c>
      <c r="N20" s="1">
        <f t="shared" si="1"/>
        <v>37.799999999999997</v>
      </c>
    </row>
    <row r="21" spans="4:14" x14ac:dyDescent="0.25">
      <c r="D21" s="1">
        <v>38</v>
      </c>
      <c r="E21" s="1">
        <f>IF($B$6-$D21&gt;1.5,1,0)</f>
        <v>1</v>
      </c>
      <c r="F21" s="1">
        <f>IF(AND($B$6-$D21&lt;1.5,$D21&lt;$B$6),1,0)</f>
        <v>0</v>
      </c>
      <c r="G21" s="1">
        <f>IF(AND(-$B$6+$D21&lt;1.5,$D21&gt;$B$6),1,0)</f>
        <v>0</v>
      </c>
      <c r="H21" s="1">
        <f>IF(-$B$6+$D21&gt;1.5,1,0)</f>
        <v>0</v>
      </c>
      <c r="I21" s="1">
        <f>E21*(D21-($B$6-D21)*$B$9)</f>
        <v>38</v>
      </c>
      <c r="J21" s="1">
        <f>F21*($D21-($B$6-$D21)*$B$10)</f>
        <v>0</v>
      </c>
      <c r="K21" s="1">
        <f>G21*($D21-($B$6-$D21)*$B$11)</f>
        <v>0</v>
      </c>
      <c r="L21" s="1">
        <f>H21*($D21-($B$6-$D21)*$B$12)</f>
        <v>0</v>
      </c>
      <c r="M21" s="1">
        <f t="shared" si="0"/>
        <v>38</v>
      </c>
      <c r="N21" s="1">
        <f t="shared" si="1"/>
        <v>38</v>
      </c>
    </row>
    <row r="22" spans="4:14" x14ac:dyDescent="0.25">
      <c r="D22" s="1">
        <v>38.200000000000102</v>
      </c>
      <c r="E22" s="1">
        <f>IF($B$6-$D22&gt;1.5,1,0)</f>
        <v>1</v>
      </c>
      <c r="F22" s="1">
        <f>IF(AND($B$6-$D22&lt;1.5,$D22&lt;$B$6),1,0)</f>
        <v>0</v>
      </c>
      <c r="G22" s="1">
        <f>IF(AND(-$B$6+$D22&lt;1.5,$D22&gt;$B$6),1,0)</f>
        <v>0</v>
      </c>
      <c r="H22" s="1">
        <f>IF(-$B$6+$D22&gt;1.5,1,0)</f>
        <v>0</v>
      </c>
      <c r="I22" s="1">
        <f>E22*(D22-($B$6-D22)*$B$9)</f>
        <v>38.200000000000102</v>
      </c>
      <c r="J22" s="1">
        <f>F22*($D22-($B$6-$D22)*$B$10)</f>
        <v>0</v>
      </c>
      <c r="K22" s="1">
        <f>G22*($D22-($B$6-$D22)*$B$11)</f>
        <v>0</v>
      </c>
      <c r="L22" s="1">
        <f>H22*($D22-($B$6-$D22)*$B$12)</f>
        <v>0</v>
      </c>
      <c r="M22" s="1">
        <f t="shared" si="0"/>
        <v>38.200000000000102</v>
      </c>
      <c r="N22" s="1">
        <f t="shared" si="1"/>
        <v>38.200000000000102</v>
      </c>
    </row>
    <row r="23" spans="4:14" x14ac:dyDescent="0.25">
      <c r="D23" s="1">
        <v>38.4</v>
      </c>
      <c r="E23" s="1">
        <f>IF($B$6-$D23&gt;1.5,1,0)</f>
        <v>1</v>
      </c>
      <c r="F23" s="1">
        <f>IF(AND($B$6-$D23&lt;1.5,$D23&lt;$B$6),1,0)</f>
        <v>0</v>
      </c>
      <c r="G23" s="1">
        <f>IF(AND(-$B$6+$D23&lt;1.5,$D23&gt;$B$6),1,0)</f>
        <v>0</v>
      </c>
      <c r="H23" s="1">
        <f>IF(-$B$6+$D23&gt;1.5,1,0)</f>
        <v>0</v>
      </c>
      <c r="I23" s="1">
        <f>E23*(D23-($B$6-D23)*$B$9)</f>
        <v>38.4</v>
      </c>
      <c r="J23" s="1">
        <f>F23*($D23-($B$6-$D23)*$B$10)</f>
        <v>0</v>
      </c>
      <c r="K23" s="1">
        <f>G23*($D23-($B$6-$D23)*$B$11)</f>
        <v>0</v>
      </c>
      <c r="L23" s="1">
        <f>H23*($D23-($B$6-$D23)*$B$12)</f>
        <v>0</v>
      </c>
      <c r="M23" s="1">
        <f t="shared" si="0"/>
        <v>38.4</v>
      </c>
      <c r="N23" s="1">
        <f t="shared" si="1"/>
        <v>38.4</v>
      </c>
    </row>
    <row r="24" spans="4:14" x14ac:dyDescent="0.25">
      <c r="D24" s="1">
        <v>38.600000000000101</v>
      </c>
      <c r="E24" s="1">
        <f>IF($B$6-$D24&gt;1.5,1,0)</f>
        <v>0</v>
      </c>
      <c r="F24" s="1">
        <f>IF(AND($B$6-$D24&lt;1.5,$D24&lt;$B$6),1,0)</f>
        <v>1</v>
      </c>
      <c r="G24" s="1">
        <f>IF(AND(-$B$6+$D24&lt;1.5,$D24&gt;$B$6),1,0)</f>
        <v>0</v>
      </c>
      <c r="H24" s="1">
        <f>IF(-$B$6+$D24&gt;1.5,1,0)</f>
        <v>0</v>
      </c>
      <c r="I24" s="1">
        <f>E24*(D24-($B$6-D24)*$B$9)</f>
        <v>0</v>
      </c>
      <c r="J24" s="1">
        <f>F24*($D24-($B$6-$D24)*$B$10)</f>
        <v>30.200000000000706</v>
      </c>
      <c r="K24" s="1">
        <f>G24*($D24-($B$6-$D24)*$B$11)</f>
        <v>0</v>
      </c>
      <c r="L24" s="1">
        <f>H24*($D24-($B$6-$D24)*$B$12)</f>
        <v>0</v>
      </c>
      <c r="M24" s="1">
        <f t="shared" si="0"/>
        <v>30.200000000000706</v>
      </c>
      <c r="N24" s="1">
        <f t="shared" si="1"/>
        <v>38.600000000000101</v>
      </c>
    </row>
    <row r="25" spans="4:14" x14ac:dyDescent="0.25">
      <c r="D25" s="1">
        <v>38.799999999999997</v>
      </c>
      <c r="E25" s="1">
        <f>IF($B$6-$D25&gt;1.5,1,0)</f>
        <v>0</v>
      </c>
      <c r="F25" s="1">
        <f>IF(AND($B$6-$D25&lt;1.5,$D25&lt;$B$6),1,0)</f>
        <v>1</v>
      </c>
      <c r="G25" s="1">
        <f>IF(AND(-$B$6+$D25&lt;1.5,$D25&gt;$B$6),1,0)</f>
        <v>0</v>
      </c>
      <c r="H25" s="1">
        <f>IF(-$B$6+$D25&gt;1.5,1,0)</f>
        <v>0</v>
      </c>
      <c r="I25" s="1">
        <f>E25*(D25-($B$6-D25)*$B$9)</f>
        <v>0</v>
      </c>
      <c r="J25" s="1">
        <f>F25*($D25-($B$6-$D25)*$B$10)</f>
        <v>31.59999999999998</v>
      </c>
      <c r="K25" s="1">
        <f>G25*($D25-($B$6-$D25)*$B$11)</f>
        <v>0</v>
      </c>
      <c r="L25" s="1">
        <f>H25*($D25-($B$6-$D25)*$B$12)</f>
        <v>0</v>
      </c>
      <c r="M25" s="1">
        <f t="shared" si="0"/>
        <v>31.59999999999998</v>
      </c>
      <c r="N25" s="1">
        <f t="shared" si="1"/>
        <v>38.799999999999997</v>
      </c>
    </row>
    <row r="26" spans="4:14" x14ac:dyDescent="0.25">
      <c r="D26" s="1">
        <v>39.000000000000099</v>
      </c>
      <c r="E26" s="1">
        <f>IF($B$6-$D26&gt;1.5,1,0)</f>
        <v>0</v>
      </c>
      <c r="F26" s="1">
        <f>IF(AND($B$6-$D26&lt;1.5,$D26&lt;$B$6),1,0)</f>
        <v>1</v>
      </c>
      <c r="G26" s="1">
        <f>IF(AND(-$B$6+$D26&lt;1.5,$D26&gt;$B$6),1,0)</f>
        <v>0</v>
      </c>
      <c r="H26" s="1">
        <f>IF(-$B$6+$D26&gt;1.5,1,0)</f>
        <v>0</v>
      </c>
      <c r="I26" s="1">
        <f>E26*(D26-($B$6-D26)*$B$9)</f>
        <v>0</v>
      </c>
      <c r="J26" s="1">
        <f>F26*($D26-($B$6-$D26)*$B$10)</f>
        <v>33.000000000000696</v>
      </c>
      <c r="K26" s="1">
        <f>G26*($D26-($B$6-$D26)*$B$11)</f>
        <v>0</v>
      </c>
      <c r="L26" s="1">
        <f>H26*($D26-($B$6-$D26)*$B$12)</f>
        <v>0</v>
      </c>
      <c r="M26" s="1">
        <f t="shared" si="0"/>
        <v>33.000000000000696</v>
      </c>
      <c r="N26" s="1">
        <f t="shared" si="1"/>
        <v>39.000000000000099</v>
      </c>
    </row>
    <row r="27" spans="4:14" x14ac:dyDescent="0.25">
      <c r="D27" s="1">
        <v>39.200000000000102</v>
      </c>
      <c r="E27" s="1">
        <f>IF($B$6-$D27&gt;1.5,1,0)</f>
        <v>0</v>
      </c>
      <c r="F27" s="1">
        <f>IF(AND($B$6-$D27&lt;1.5,$D27&lt;$B$6),1,0)</f>
        <v>1</v>
      </c>
      <c r="G27" s="1">
        <f>IF(AND(-$B$6+$D27&lt;1.5,$D27&gt;$B$6),1,0)</f>
        <v>0</v>
      </c>
      <c r="H27" s="1">
        <f>IF(-$B$6+$D27&gt;1.5,1,0)</f>
        <v>0</v>
      </c>
      <c r="I27" s="1">
        <f>E27*(D27-($B$6-D27)*$B$9)</f>
        <v>0</v>
      </c>
      <c r="J27" s="1">
        <f>F27*($D27-($B$6-$D27)*$B$10)</f>
        <v>34.400000000000716</v>
      </c>
      <c r="K27" s="1">
        <f>G27*($D27-($B$6-$D27)*$B$11)</f>
        <v>0</v>
      </c>
      <c r="L27" s="1">
        <f>H27*($D27-($B$6-$D27)*$B$12)</f>
        <v>0</v>
      </c>
      <c r="M27" s="1">
        <f t="shared" si="0"/>
        <v>34.400000000000716</v>
      </c>
      <c r="N27" s="1">
        <f t="shared" si="1"/>
        <v>39.200000000000102</v>
      </c>
    </row>
    <row r="28" spans="4:14" x14ac:dyDescent="0.25">
      <c r="D28" s="1">
        <v>39.400000000000098</v>
      </c>
      <c r="E28" s="1">
        <f>IF($B$6-$D28&gt;1.5,1,0)</f>
        <v>0</v>
      </c>
      <c r="F28" s="1">
        <f>IF(AND($B$6-$D28&lt;1.5,$D28&lt;$B$6),1,0)</f>
        <v>1</v>
      </c>
      <c r="G28" s="1">
        <f>IF(AND(-$B$6+$D28&lt;1.5,$D28&gt;$B$6),1,0)</f>
        <v>0</v>
      </c>
      <c r="H28" s="1">
        <f>IF(-$B$6+$D28&gt;1.5,1,0)</f>
        <v>0</v>
      </c>
      <c r="I28" s="1">
        <f>E28*(D28-($B$6-D28)*$B$9)</f>
        <v>0</v>
      </c>
      <c r="J28" s="1">
        <f>F28*($D28-($B$6-$D28)*$B$10)</f>
        <v>35.800000000000686</v>
      </c>
      <c r="K28" s="1">
        <f>G28*($D28-($B$6-$D28)*$B$11)</f>
        <v>0</v>
      </c>
      <c r="L28" s="1">
        <f>H28*($D28-($B$6-$D28)*$B$12)</f>
        <v>0</v>
      </c>
      <c r="M28" s="1">
        <f t="shared" si="0"/>
        <v>35.800000000000686</v>
      </c>
      <c r="N28" s="1">
        <f t="shared" si="1"/>
        <v>39.400000000000098</v>
      </c>
    </row>
    <row r="29" spans="4:14" x14ac:dyDescent="0.25">
      <c r="D29" s="1">
        <v>39.600000000000101</v>
      </c>
      <c r="E29" s="1">
        <f>IF($B$6-$D29&gt;1.5,1,0)</f>
        <v>0</v>
      </c>
      <c r="F29" s="1">
        <f>IF(AND($B$6-$D29&lt;1.5,$D29&lt;$B$6),1,0)</f>
        <v>1</v>
      </c>
      <c r="G29" s="1">
        <f>IF(AND(-$B$6+$D29&lt;1.5,$D29&gt;$B$6),1,0)</f>
        <v>0</v>
      </c>
      <c r="H29" s="1">
        <f>IF(-$B$6+$D29&gt;1.5,1,0)</f>
        <v>0</v>
      </c>
      <c r="I29" s="1">
        <f>E29*(D29-($B$6-D29)*$B$9)</f>
        <v>0</v>
      </c>
      <c r="J29" s="1">
        <f>F29*($D29-($B$6-$D29)*$B$10)</f>
        <v>37.200000000000706</v>
      </c>
      <c r="K29" s="1">
        <f>G29*($D29-($B$6-$D29)*$B$11)</f>
        <v>0</v>
      </c>
      <c r="L29" s="1">
        <f>H29*($D29-($B$6-$D29)*$B$12)</f>
        <v>0</v>
      </c>
      <c r="M29" s="1">
        <f t="shared" si="0"/>
        <v>37.200000000000706</v>
      </c>
      <c r="N29" s="1">
        <f t="shared" si="1"/>
        <v>39.600000000000101</v>
      </c>
    </row>
    <row r="30" spans="4:14" x14ac:dyDescent="0.25">
      <c r="D30" s="1">
        <v>39.800000000000097</v>
      </c>
      <c r="E30" s="1">
        <f>IF($B$6-$D30&gt;1.5,1,0)</f>
        <v>0</v>
      </c>
      <c r="F30" s="1">
        <f>IF(AND($B$6-$D30&lt;1.5,$D30&lt;$B$6),1,0)</f>
        <v>1</v>
      </c>
      <c r="G30" s="1">
        <f>IF(AND(-$B$6+$D30&lt;1.5,$D30&gt;$B$6),1,0)</f>
        <v>0</v>
      </c>
      <c r="H30" s="1">
        <f>IF(-$B$6+$D30&gt;1.5,1,0)</f>
        <v>0</v>
      </c>
      <c r="I30" s="1">
        <f>E30*(D30-($B$6-D30)*$B$9)</f>
        <v>0</v>
      </c>
      <c r="J30" s="1">
        <f>F30*($D30-($B$6-$D30)*$B$10)</f>
        <v>38.600000000000676</v>
      </c>
      <c r="K30" s="1">
        <f>G30*($D30-($B$6-$D30)*$B$11)</f>
        <v>0</v>
      </c>
      <c r="L30" s="1">
        <f>H30*($D30-($B$6-$D30)*$B$12)</f>
        <v>0</v>
      </c>
      <c r="M30" s="1">
        <f t="shared" si="0"/>
        <v>38.600000000000676</v>
      </c>
      <c r="N30" s="1">
        <f t="shared" si="1"/>
        <v>39.800000000000097</v>
      </c>
    </row>
    <row r="31" spans="4:14" x14ac:dyDescent="0.25">
      <c r="D31" s="1">
        <v>40.000000000000099</v>
      </c>
      <c r="E31" s="1">
        <f>IF($B$6-$D31&gt;1.5,1,0)</f>
        <v>0</v>
      </c>
      <c r="F31" s="1">
        <f>IF(AND($B$6-$D31&lt;1.5,$D31&lt;$B$6),1,0)</f>
        <v>0</v>
      </c>
      <c r="G31" s="1">
        <f>IF(AND(-$B$6+$D31&lt;1.5,$D31&gt;$B$6),1,0)</f>
        <v>1</v>
      </c>
      <c r="H31" s="1">
        <f>IF(-$B$6+$D31&gt;1.5,1,0)</f>
        <v>0</v>
      </c>
      <c r="I31" s="1">
        <f>E31*(D31-($B$6-D31)*$B$9)</f>
        <v>0</v>
      </c>
      <c r="J31" s="1">
        <f>F31*($D31-($B$6-$D31)*$B$10)</f>
        <v>0</v>
      </c>
      <c r="K31" s="1">
        <f>G31*($D31-($B$6-$D31)*$B$11)</f>
        <v>40.000000000000298</v>
      </c>
      <c r="L31" s="1">
        <f>H31*($D31-($B$6-$D31)*$B$12)</f>
        <v>0</v>
      </c>
      <c r="M31" s="1">
        <f t="shared" si="0"/>
        <v>40.000000000000298</v>
      </c>
      <c r="N31" s="1">
        <f t="shared" si="1"/>
        <v>40.000000000000099</v>
      </c>
    </row>
    <row r="32" spans="4:14" x14ac:dyDescent="0.25">
      <c r="D32" s="1">
        <v>40.200000000000102</v>
      </c>
      <c r="E32" s="1">
        <f>IF($B$6-$D32&gt;1.5,1,0)</f>
        <v>0</v>
      </c>
      <c r="F32" s="1">
        <f>IF(AND($B$6-$D32&lt;1.5,$D32&lt;$B$6),1,0)</f>
        <v>0</v>
      </c>
      <c r="G32" s="1">
        <f>IF(AND(-$B$6+$D32&lt;1.5,$D32&gt;$B$6),1,0)</f>
        <v>1</v>
      </c>
      <c r="H32" s="1">
        <f>IF(-$B$6+$D32&gt;1.5,1,0)</f>
        <v>0</v>
      </c>
      <c r="I32" s="1">
        <f>E32*(D32-($B$6-D32)*$B$9)</f>
        <v>0</v>
      </c>
      <c r="J32" s="1">
        <f>F32*($D32-($B$6-$D32)*$B$10)</f>
        <v>0</v>
      </c>
      <c r="K32" s="1">
        <f>G32*($D32-($B$6-$D32)*$B$11)</f>
        <v>40.600000000000307</v>
      </c>
      <c r="L32" s="1">
        <f>H32*($D32-($B$6-$D32)*$B$12)</f>
        <v>0</v>
      </c>
      <c r="M32" s="1">
        <f t="shared" si="0"/>
        <v>40.600000000000307</v>
      </c>
      <c r="N32" s="1">
        <f t="shared" si="1"/>
        <v>40.200000000000102</v>
      </c>
    </row>
    <row r="33" spans="4:14" x14ac:dyDescent="0.25">
      <c r="D33" s="1">
        <v>40.400000000000098</v>
      </c>
      <c r="E33" s="1">
        <f>IF($B$6-$D33&gt;1.5,1,0)</f>
        <v>0</v>
      </c>
      <c r="F33" s="1">
        <f>IF(AND($B$6-$D33&lt;1.5,$D33&lt;$B$6),1,0)</f>
        <v>0</v>
      </c>
      <c r="G33" s="1">
        <f>IF(AND(-$B$6+$D33&lt;1.5,$D33&gt;$B$6),1,0)</f>
        <v>1</v>
      </c>
      <c r="H33" s="1">
        <f>IF(-$B$6+$D33&gt;1.5,1,0)</f>
        <v>0</v>
      </c>
      <c r="I33" s="1">
        <f>E33*(D33-($B$6-D33)*$B$9)</f>
        <v>0</v>
      </c>
      <c r="J33" s="1">
        <f>F33*($D33-($B$6-$D33)*$B$10)</f>
        <v>0</v>
      </c>
      <c r="K33" s="1">
        <f>G33*($D33-($B$6-$D33)*$B$11)</f>
        <v>41.200000000000294</v>
      </c>
      <c r="L33" s="1">
        <f>H33*($D33-($B$6-$D33)*$B$12)</f>
        <v>0</v>
      </c>
      <c r="M33" s="1">
        <f t="shared" si="0"/>
        <v>41.200000000000294</v>
      </c>
      <c r="N33" s="1">
        <f t="shared" si="1"/>
        <v>40.400000000000098</v>
      </c>
    </row>
    <row r="34" spans="4:14" x14ac:dyDescent="0.25">
      <c r="D34" s="1">
        <v>40.600000000000101</v>
      </c>
      <c r="E34" s="1">
        <f>IF($B$6-$D34&gt;1.5,1,0)</f>
        <v>0</v>
      </c>
      <c r="F34" s="1">
        <f>IF(AND($B$6-$D34&lt;1.5,$D34&lt;$B$6),1,0)</f>
        <v>0</v>
      </c>
      <c r="G34" s="1">
        <f>IF(AND(-$B$6+$D34&lt;1.5,$D34&gt;$B$6),1,0)</f>
        <v>1</v>
      </c>
      <c r="H34" s="1">
        <f>IF(-$B$6+$D34&gt;1.5,1,0)</f>
        <v>0</v>
      </c>
      <c r="I34" s="1">
        <f>E34*(D34-($B$6-D34)*$B$9)</f>
        <v>0</v>
      </c>
      <c r="J34" s="1">
        <f>F34*($D34-($B$6-$D34)*$B$10)</f>
        <v>0</v>
      </c>
      <c r="K34" s="1">
        <f>G34*($D34-($B$6-$D34)*$B$11)</f>
        <v>41.800000000000303</v>
      </c>
      <c r="L34" s="1">
        <f>H34*($D34-($B$6-$D34)*$B$12)</f>
        <v>0</v>
      </c>
      <c r="M34" s="1">
        <f t="shared" si="0"/>
        <v>41.800000000000303</v>
      </c>
      <c r="N34" s="1">
        <f t="shared" si="1"/>
        <v>40.600000000000101</v>
      </c>
    </row>
    <row r="35" spans="4:14" x14ac:dyDescent="0.25">
      <c r="D35" s="1">
        <v>40.800000000000097</v>
      </c>
      <c r="E35" s="1">
        <f>IF($B$6-$D35&gt;1.5,1,0)</f>
        <v>0</v>
      </c>
      <c r="F35" s="1">
        <f>IF(AND($B$6-$D35&lt;1.5,$D35&lt;$B$6),1,0)</f>
        <v>0</v>
      </c>
      <c r="G35" s="1">
        <f>IF(AND(-$B$6+$D35&lt;1.5,$D35&gt;$B$6),1,0)</f>
        <v>1</v>
      </c>
      <c r="H35" s="1">
        <f>IF(-$B$6+$D35&gt;1.5,1,0)</f>
        <v>0</v>
      </c>
      <c r="I35" s="1">
        <f>E35*(D35-($B$6-D35)*$B$9)</f>
        <v>0</v>
      </c>
      <c r="J35" s="1">
        <f>F35*($D35-($B$6-$D35)*$B$10)</f>
        <v>0</v>
      </c>
      <c r="K35" s="1">
        <f>G35*($D35-($B$6-$D35)*$B$11)</f>
        <v>42.40000000000029</v>
      </c>
      <c r="L35" s="1">
        <f>H35*($D35-($B$6-$D35)*$B$12)</f>
        <v>0</v>
      </c>
      <c r="M35" s="1">
        <f t="shared" si="0"/>
        <v>42.40000000000029</v>
      </c>
      <c r="N35" s="1">
        <f t="shared" si="1"/>
        <v>40.800000000000097</v>
      </c>
    </row>
    <row r="36" spans="4:14" x14ac:dyDescent="0.25">
      <c r="D36" s="1">
        <v>41.000000000000099</v>
      </c>
      <c r="E36" s="1">
        <f>IF($B$6-$D36&gt;1.5,1,0)</f>
        <v>0</v>
      </c>
      <c r="F36" s="1">
        <f>IF(AND($B$6-$D36&lt;1.5,$D36&lt;$B$6),1,0)</f>
        <v>0</v>
      </c>
      <c r="G36" s="1">
        <f>IF(AND(-$B$6+$D36&lt;1.5,$D36&gt;$B$6),1,0)</f>
        <v>1</v>
      </c>
      <c r="H36" s="1">
        <f>IF(-$B$6+$D36&gt;1.5,1,0)</f>
        <v>0</v>
      </c>
      <c r="I36" s="1">
        <f>E36*(D36-($B$6-D36)*$B$9)</f>
        <v>0</v>
      </c>
      <c r="J36" s="1">
        <f>F36*($D36-($B$6-$D36)*$B$10)</f>
        <v>0</v>
      </c>
      <c r="K36" s="1">
        <f>G36*($D36-($B$6-$D36)*$B$11)</f>
        <v>43.000000000000298</v>
      </c>
      <c r="L36" s="1">
        <f>H36*($D36-($B$6-$D36)*$B$12)</f>
        <v>0</v>
      </c>
      <c r="M36" s="1">
        <f t="shared" si="0"/>
        <v>43.000000000000298</v>
      </c>
      <c r="N36" s="1">
        <f t="shared" si="1"/>
        <v>41.000000000000099</v>
      </c>
    </row>
    <row r="37" spans="4:14" x14ac:dyDescent="0.25">
      <c r="D37" s="1">
        <v>41.200000000000102</v>
      </c>
      <c r="E37" s="1">
        <f>IF($B$6-$D37&gt;1.5,1,0)</f>
        <v>0</v>
      </c>
      <c r="F37" s="1">
        <f>IF(AND($B$6-$D37&lt;1.5,$D37&lt;$B$6),1,0)</f>
        <v>0</v>
      </c>
      <c r="G37" s="1">
        <f>IF(AND(-$B$6+$D37&lt;1.5,$D37&gt;$B$6),1,0)</f>
        <v>1</v>
      </c>
      <c r="H37" s="1">
        <f>IF(-$B$6+$D37&gt;1.5,1,0)</f>
        <v>0</v>
      </c>
      <c r="I37" s="1">
        <f>E37*(D37-($B$6-D37)*$B$9)</f>
        <v>0</v>
      </c>
      <c r="J37" s="1">
        <f>F37*($D37-($B$6-$D37)*$B$10)</f>
        <v>0</v>
      </c>
      <c r="K37" s="1">
        <f>G37*($D37-($B$6-$D37)*$B$11)</f>
        <v>43.600000000000307</v>
      </c>
      <c r="L37" s="1">
        <f>H37*($D37-($B$6-$D37)*$B$12)</f>
        <v>0</v>
      </c>
      <c r="M37" s="1">
        <f t="shared" si="0"/>
        <v>43.600000000000307</v>
      </c>
      <c r="N37" s="1">
        <f t="shared" si="1"/>
        <v>41.200000000000102</v>
      </c>
    </row>
    <row r="38" spans="4:14" x14ac:dyDescent="0.25">
      <c r="D38" s="1">
        <v>41.400000000000098</v>
      </c>
      <c r="E38" s="1">
        <f>IF($B$6-$D38&gt;1.5,1,0)</f>
        <v>0</v>
      </c>
      <c r="F38" s="1">
        <f>IF(AND($B$6-$D38&lt;1.5,$D38&lt;$B$6),1,0)</f>
        <v>0</v>
      </c>
      <c r="G38" s="1">
        <f>IF(AND(-$B$6+$D38&lt;1.5,$D38&gt;$B$6),1,0)</f>
        <v>1</v>
      </c>
      <c r="H38" s="1">
        <f>IF(-$B$6+$D38&gt;1.5,1,0)</f>
        <v>0</v>
      </c>
      <c r="I38" s="1">
        <f>E38*(D38-($B$6-D38)*$B$9)</f>
        <v>0</v>
      </c>
      <c r="J38" s="1">
        <f>F38*($D38-($B$6-$D38)*$B$10)</f>
        <v>0</v>
      </c>
      <c r="K38" s="1">
        <f>G38*($D38-($B$6-$D38)*$B$11)</f>
        <v>44.200000000000294</v>
      </c>
      <c r="L38" s="1">
        <f>H38*($D38-($B$6-$D38)*$B$12)</f>
        <v>0</v>
      </c>
      <c r="M38" s="1">
        <f t="shared" si="0"/>
        <v>44.200000000000294</v>
      </c>
      <c r="N38" s="1">
        <f t="shared" si="1"/>
        <v>41.400000000000098</v>
      </c>
    </row>
    <row r="39" spans="4:14" x14ac:dyDescent="0.25">
      <c r="D39" s="1">
        <v>41.600000000000101</v>
      </c>
      <c r="E39" s="1">
        <f>IF($B$6-$D39&gt;1.5,1,0)</f>
        <v>0</v>
      </c>
      <c r="F39" s="1">
        <f>IF(AND($B$6-$D39&lt;1.5,$D39&lt;$B$6),1,0)</f>
        <v>0</v>
      </c>
      <c r="G39" s="1">
        <f>IF(AND(-$B$6+$D39&lt;1.5,$D39&gt;$B$6),1,0)</f>
        <v>0</v>
      </c>
      <c r="H39" s="1">
        <f>IF(-$B$6+$D39&gt;1.5,1,0)</f>
        <v>1</v>
      </c>
      <c r="I39" s="1">
        <f>E39*(D39-($B$6-D39)*$B$9)</f>
        <v>0</v>
      </c>
      <c r="J39" s="1">
        <f>F39*($D39-($B$6-$D39)*$B$10)</f>
        <v>0</v>
      </c>
      <c r="K39" s="1">
        <f>G39*($D39-($B$6-$D39)*$B$11)</f>
        <v>0</v>
      </c>
      <c r="L39" s="1">
        <f>H39*($D39-($B$6-$D39)*$B$12)</f>
        <v>51.200000000000706</v>
      </c>
      <c r="M39" s="1">
        <f t="shared" si="0"/>
        <v>51.200000000000706</v>
      </c>
      <c r="N39" s="1">
        <f t="shared" si="1"/>
        <v>41.600000000000101</v>
      </c>
    </row>
    <row r="40" spans="4:14" x14ac:dyDescent="0.25">
      <c r="D40" s="1">
        <v>41.800000000000097</v>
      </c>
      <c r="E40" s="1">
        <f>IF($B$6-$D40&gt;1.5,1,0)</f>
        <v>0</v>
      </c>
      <c r="F40" s="1">
        <f>IF(AND($B$6-$D40&lt;1.5,$D40&lt;$B$6),1,0)</f>
        <v>0</v>
      </c>
      <c r="G40" s="1">
        <f>IF(AND(-$B$6+$D40&lt;1.5,$D40&gt;$B$6),1,0)</f>
        <v>0</v>
      </c>
      <c r="H40" s="1">
        <f>IF(-$B$6+$D40&gt;1.5,1,0)</f>
        <v>1</v>
      </c>
      <c r="I40" s="1">
        <f>E40*(D40-($B$6-D40)*$B$9)</f>
        <v>0</v>
      </c>
      <c r="J40" s="1">
        <f>F40*($D40-($B$6-$D40)*$B$10)</f>
        <v>0</v>
      </c>
      <c r="K40" s="1">
        <f>G40*($D40-($B$6-$D40)*$B$11)</f>
        <v>0</v>
      </c>
      <c r="L40" s="1">
        <f>H40*($D40-($B$6-$D40)*$B$12)</f>
        <v>52.600000000000676</v>
      </c>
      <c r="M40" s="1">
        <f t="shared" si="0"/>
        <v>52.600000000000676</v>
      </c>
      <c r="N40" s="1">
        <f t="shared" si="1"/>
        <v>41.800000000000097</v>
      </c>
    </row>
    <row r="41" spans="4:14" x14ac:dyDescent="0.25">
      <c r="D41" s="1">
        <v>42.000000000000099</v>
      </c>
      <c r="E41" s="1">
        <f>IF($B$6-$D41&gt;1.5,1,0)</f>
        <v>0</v>
      </c>
      <c r="F41" s="1">
        <f>IF(AND($B$6-$D41&lt;1.5,$D41&lt;$B$6),1,0)</f>
        <v>0</v>
      </c>
      <c r="G41" s="1">
        <f>IF(AND(-$B$6+$D41&lt;1.5,$D41&gt;$B$6),1,0)</f>
        <v>0</v>
      </c>
      <c r="H41" s="1">
        <f>IF(-$B$6+$D41&gt;1.5,1,0)</f>
        <v>1</v>
      </c>
      <c r="I41" s="1">
        <f>E41*(D41-($B$6-D41)*$B$9)</f>
        <v>0</v>
      </c>
      <c r="J41" s="1">
        <f>F41*($D41-($B$6-$D41)*$B$10)</f>
        <v>0</v>
      </c>
      <c r="K41" s="1">
        <f>G41*($D41-($B$6-$D41)*$B$11)</f>
        <v>0</v>
      </c>
      <c r="L41" s="1">
        <f>H41*($D41-($B$6-$D41)*$B$12)</f>
        <v>54.000000000000696</v>
      </c>
      <c r="M41" s="1">
        <f t="shared" si="0"/>
        <v>54.000000000000696</v>
      </c>
      <c r="N41" s="1">
        <f t="shared" si="1"/>
        <v>42.000000000000099</v>
      </c>
    </row>
    <row r="42" spans="4:14" x14ac:dyDescent="0.25">
      <c r="D42" s="1">
        <v>42.200000000000102</v>
      </c>
      <c r="E42" s="1">
        <f>IF($B$6-$D42&gt;1.5,1,0)</f>
        <v>0</v>
      </c>
      <c r="F42" s="1">
        <f>IF(AND($B$6-$D42&lt;1.5,$D42&lt;$B$6),1,0)</f>
        <v>0</v>
      </c>
      <c r="G42" s="1">
        <f>IF(AND(-$B$6+$D42&lt;1.5,$D42&gt;$B$6),1,0)</f>
        <v>0</v>
      </c>
      <c r="H42" s="1">
        <f>IF(-$B$6+$D42&gt;1.5,1,0)</f>
        <v>1</v>
      </c>
      <c r="I42" s="1">
        <f>E42*(D42-($B$6-D42)*$B$9)</f>
        <v>0</v>
      </c>
      <c r="J42" s="1">
        <f>F42*($D42-($B$6-$D42)*$B$10)</f>
        <v>0</v>
      </c>
      <c r="K42" s="1">
        <f>G42*($D42-($B$6-$D42)*$B$11)</f>
        <v>0</v>
      </c>
      <c r="L42" s="1">
        <f>H42*($D42-($B$6-$D42)*$B$12)</f>
        <v>55.400000000000716</v>
      </c>
      <c r="M42" s="1">
        <f t="shared" si="0"/>
        <v>55.400000000000716</v>
      </c>
      <c r="N42" s="1">
        <f t="shared" si="1"/>
        <v>42.200000000000102</v>
      </c>
    </row>
    <row r="43" spans="4:14" x14ac:dyDescent="0.25">
      <c r="D43" s="1">
        <v>42.400000000000098</v>
      </c>
      <c r="E43" s="1">
        <f>IF($B$6-$D43&gt;1.5,1,0)</f>
        <v>0</v>
      </c>
      <c r="F43" s="1">
        <f>IF(AND($B$6-$D43&lt;1.5,$D43&lt;$B$6),1,0)</f>
        <v>0</v>
      </c>
      <c r="G43" s="1">
        <f>IF(AND(-$B$6+$D43&lt;1.5,$D43&gt;$B$6),1,0)</f>
        <v>0</v>
      </c>
      <c r="H43" s="1">
        <f>IF(-$B$6+$D43&gt;1.5,1,0)</f>
        <v>1</v>
      </c>
      <c r="I43" s="1">
        <f>E43*(D43-($B$6-D43)*$B$9)</f>
        <v>0</v>
      </c>
      <c r="J43" s="1">
        <f>F43*($D43-($B$6-$D43)*$B$10)</f>
        <v>0</v>
      </c>
      <c r="K43" s="1">
        <f>G43*($D43-($B$6-$D43)*$B$11)</f>
        <v>0</v>
      </c>
      <c r="L43" s="1">
        <f>H43*($D43-($B$6-$D43)*$B$12)</f>
        <v>56.800000000000686</v>
      </c>
      <c r="M43" s="1">
        <f t="shared" si="0"/>
        <v>56.800000000000686</v>
      </c>
      <c r="N43" s="1">
        <f t="shared" si="1"/>
        <v>42.400000000000098</v>
      </c>
    </row>
    <row r="44" spans="4:14" x14ac:dyDescent="0.25">
      <c r="D44" s="1">
        <v>42.600000000000101</v>
      </c>
      <c r="E44" s="1">
        <f>IF($B$6-$D44&gt;1.5,1,0)</f>
        <v>0</v>
      </c>
      <c r="F44" s="1">
        <f>IF(AND($B$6-$D44&lt;1.5,$D44&lt;$B$6),1,0)</f>
        <v>0</v>
      </c>
      <c r="G44" s="1">
        <f>IF(AND(-$B$6+$D44&lt;1.5,$D44&gt;$B$6),1,0)</f>
        <v>0</v>
      </c>
      <c r="H44" s="1">
        <f>IF(-$B$6+$D44&gt;1.5,1,0)</f>
        <v>1</v>
      </c>
      <c r="I44" s="1">
        <f>E44*(D44-($B$6-D44)*$B$9)</f>
        <v>0</v>
      </c>
      <c r="J44" s="1">
        <f>F44*($D44-($B$6-$D44)*$B$10)</f>
        <v>0</v>
      </c>
      <c r="K44" s="1">
        <f>G44*($D44-($B$6-$D44)*$B$11)</f>
        <v>0</v>
      </c>
      <c r="L44" s="1">
        <f>H44*($D44-($B$6-$D44)*$B$12)</f>
        <v>58.200000000000706</v>
      </c>
      <c r="M44" s="1">
        <f t="shared" si="0"/>
        <v>58.200000000000706</v>
      </c>
      <c r="N44" s="1">
        <f t="shared" si="1"/>
        <v>42.600000000000101</v>
      </c>
    </row>
    <row r="45" spans="4:14" x14ac:dyDescent="0.25">
      <c r="D45" s="1">
        <v>42.800000000000097</v>
      </c>
      <c r="E45" s="1">
        <f>IF($B$6-$D45&gt;1.5,1,0)</f>
        <v>0</v>
      </c>
      <c r="F45" s="1">
        <f>IF(AND($B$6-$D45&lt;1.5,$D45&lt;$B$6),1,0)</f>
        <v>0</v>
      </c>
      <c r="G45" s="1">
        <f>IF(AND(-$B$6+$D45&lt;1.5,$D45&gt;$B$6),1,0)</f>
        <v>0</v>
      </c>
      <c r="H45" s="1">
        <f>IF(-$B$6+$D45&gt;1.5,1,0)</f>
        <v>1</v>
      </c>
      <c r="I45" s="1">
        <f>E45*(D45-($B$6-D45)*$B$9)</f>
        <v>0</v>
      </c>
      <c r="J45" s="1">
        <f>F45*($D45-($B$6-$D45)*$B$10)</f>
        <v>0</v>
      </c>
      <c r="K45" s="1">
        <f>G45*($D45-($B$6-$D45)*$B$11)</f>
        <v>0</v>
      </c>
      <c r="L45" s="1">
        <f>H45*($D45-($B$6-$D45)*$B$12)</f>
        <v>59.600000000000676</v>
      </c>
      <c r="M45" s="1">
        <f t="shared" si="0"/>
        <v>59.600000000000676</v>
      </c>
      <c r="N45" s="1">
        <f t="shared" si="1"/>
        <v>42.800000000000097</v>
      </c>
    </row>
    <row r="46" spans="4:14" x14ac:dyDescent="0.25">
      <c r="D46" s="1">
        <v>43.000000000000099</v>
      </c>
      <c r="E46" s="1">
        <f>IF($B$6-$D46&gt;1.5,1,0)</f>
        <v>0</v>
      </c>
      <c r="F46" s="1">
        <f>IF(AND($B$6-$D46&lt;1.5,$D46&lt;$B$6),1,0)</f>
        <v>0</v>
      </c>
      <c r="G46" s="1">
        <f>IF(AND(-$B$6+$D46&lt;1.5,$D46&gt;$B$6),1,0)</f>
        <v>0</v>
      </c>
      <c r="H46" s="1">
        <f>IF(-$B$6+$D46&gt;1.5,1,0)</f>
        <v>1</v>
      </c>
      <c r="I46" s="1">
        <f>E46*(D46-($B$6-D46)*$B$9)</f>
        <v>0</v>
      </c>
      <c r="J46" s="1">
        <f>F46*($D46-($B$6-$D46)*$B$10)</f>
        <v>0</v>
      </c>
      <c r="K46" s="1">
        <f>G46*($D46-($B$6-$D46)*$B$11)</f>
        <v>0</v>
      </c>
      <c r="L46" s="1">
        <f>H46*($D46-($B$6-$D46)*$B$12)</f>
        <v>61.000000000000696</v>
      </c>
      <c r="M46" s="1">
        <f t="shared" si="0"/>
        <v>61.000000000000696</v>
      </c>
      <c r="N46" s="1">
        <f t="shared" si="1"/>
        <v>43.000000000000099</v>
      </c>
    </row>
    <row r="47" spans="4:14" x14ac:dyDescent="0.25">
      <c r="D47" s="1">
        <v>43.200000000000102</v>
      </c>
      <c r="E47" s="1">
        <f>IF($B$6-$D47&gt;1.5,1,0)</f>
        <v>0</v>
      </c>
      <c r="F47" s="1">
        <f>IF(AND($B$6-$D47&lt;1.5,$D47&lt;$B$6),1,0)</f>
        <v>0</v>
      </c>
      <c r="G47" s="1">
        <f>IF(AND(-$B$6+$D47&lt;1.5,$D47&gt;$B$6),1,0)</f>
        <v>0</v>
      </c>
      <c r="H47" s="1">
        <f>IF(-$B$6+$D47&gt;1.5,1,0)</f>
        <v>1</v>
      </c>
      <c r="I47" s="1">
        <f>E47*(D47-($B$6-D47)*$B$9)</f>
        <v>0</v>
      </c>
      <c r="J47" s="1">
        <f>F47*($D47-($B$6-$D47)*$B$10)</f>
        <v>0</v>
      </c>
      <c r="K47" s="1">
        <f>G47*($D47-($B$6-$D47)*$B$11)</f>
        <v>0</v>
      </c>
      <c r="L47" s="1">
        <f>H47*($D47-($B$6-$D47)*$B$12)</f>
        <v>62.400000000000716</v>
      </c>
      <c r="M47" s="1">
        <f t="shared" si="0"/>
        <v>62.400000000000716</v>
      </c>
      <c r="N47" s="1">
        <f t="shared" si="1"/>
        <v>43.200000000000102</v>
      </c>
    </row>
    <row r="48" spans="4:14" x14ac:dyDescent="0.25">
      <c r="D48" s="1">
        <v>43.400000000000098</v>
      </c>
      <c r="E48" s="1">
        <f>IF($B$6-$D48&gt;1.5,1,0)</f>
        <v>0</v>
      </c>
      <c r="F48" s="1">
        <f>IF(AND($B$6-$D48&lt;1.5,$D48&lt;$B$6),1,0)</f>
        <v>0</v>
      </c>
      <c r="G48" s="1">
        <f>IF(AND(-$B$6+$D48&lt;1.5,$D48&gt;$B$6),1,0)</f>
        <v>0</v>
      </c>
      <c r="H48" s="1">
        <f>IF(-$B$6+$D48&gt;1.5,1,0)</f>
        <v>1</v>
      </c>
      <c r="I48" s="1">
        <f>E48*(D48-($B$6-D48)*$B$9)</f>
        <v>0</v>
      </c>
      <c r="J48" s="1">
        <f>F48*($D48-($B$6-$D48)*$B$10)</f>
        <v>0</v>
      </c>
      <c r="K48" s="1">
        <f>G48*($D48-($B$6-$D48)*$B$11)</f>
        <v>0</v>
      </c>
      <c r="L48" s="1">
        <f>H48*($D48-($B$6-$D48)*$B$12)</f>
        <v>63.800000000000686</v>
      </c>
      <c r="M48" s="1">
        <f t="shared" si="0"/>
        <v>63.800000000000686</v>
      </c>
      <c r="N48" s="1">
        <f t="shared" si="1"/>
        <v>43.400000000000098</v>
      </c>
    </row>
    <row r="49" spans="4:14" x14ac:dyDescent="0.25">
      <c r="D49" s="1">
        <v>43.600000000000101</v>
      </c>
      <c r="E49" s="1">
        <f>IF($B$6-$D49&gt;1.5,1,0)</f>
        <v>0</v>
      </c>
      <c r="F49" s="1">
        <f>IF(AND($B$6-$D49&lt;1.5,$D49&lt;$B$6),1,0)</f>
        <v>0</v>
      </c>
      <c r="G49" s="1">
        <f>IF(AND(-$B$6+$D49&lt;1.5,$D49&gt;$B$6),1,0)</f>
        <v>0</v>
      </c>
      <c r="H49" s="1">
        <f>IF(-$B$6+$D49&gt;1.5,1,0)</f>
        <v>1</v>
      </c>
      <c r="I49" s="1">
        <f>E49*(D49-($B$6-D49)*$B$9)</f>
        <v>0</v>
      </c>
      <c r="J49" s="1">
        <f>F49*($D49-($B$6-$D49)*$B$10)</f>
        <v>0</v>
      </c>
      <c r="K49" s="1">
        <f>G49*($D49-($B$6-$D49)*$B$11)</f>
        <v>0</v>
      </c>
      <c r="L49" s="1">
        <f>H49*($D49-($B$6-$D49)*$B$12)</f>
        <v>65.200000000000699</v>
      </c>
      <c r="M49" s="1">
        <f t="shared" si="0"/>
        <v>65.200000000000699</v>
      </c>
      <c r="N49" s="1">
        <f t="shared" si="1"/>
        <v>43.600000000000101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Murria</dc:creator>
  <cp:lastModifiedBy>Jorge Murria</cp:lastModifiedBy>
  <dcterms:created xsi:type="dcterms:W3CDTF">2015-06-05T18:17:20Z</dcterms:created>
  <dcterms:modified xsi:type="dcterms:W3CDTF">2020-03-12T09:03:02Z</dcterms:modified>
</cp:coreProperties>
</file>